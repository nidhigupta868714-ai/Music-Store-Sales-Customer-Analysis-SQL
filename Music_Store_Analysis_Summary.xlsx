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QL Answers" sheetId="1" state="visible" r:id="rId3"/>
    <sheet name="Country Genre &amp; Customer" sheetId="2" state="visible" r:id="rId4"/>
    <sheet name="Yearly Revenue" sheetId="3" state="visible" r:id="rId5"/>
    <sheet name="Key Insigh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<sst xmlns="http://schemas.openxmlformats.org/spreadsheetml/2006/main" count="140" uniqueCount="118">
  <si>
    <t xml:space="preserve">Music Store Analysis - SQL Questions Answered</t>
  </si>
  <si>
    <t xml:space="preserve">Answers computed from the 11 CSV tables in the project (Jan 2017 - Dec 2020)</t>
  </si>
  <si>
    <t xml:space="preserve">Question</t>
  </si>
  <si>
    <t xml:space="preserve">Answer</t>
  </si>
  <si>
    <t xml:space="preserve">Q1 Most senior employee</t>
  </si>
  <si>
    <t xml:space="preserve">Mohan Madan — Senior General Manager (L7)</t>
  </si>
  <si>
    <t xml:space="preserve">Q2 Countries with most invoices</t>
  </si>
  <si>
    <t xml:space="preserve">USA 131 · Canada 76 · Brazil 61</t>
  </si>
  <si>
    <t xml:space="preserve">Q3 Top 3 invoice values</t>
  </si>
  <si>
    <t xml:space="preserve">#183: $23.76 · #526: $19.80 · #92: $19.80</t>
  </si>
  <si>
    <t xml:space="preserve">Q4 Best city (promo festival)</t>
  </si>
  <si>
    <t xml:space="preserve">Prague — $273.24</t>
  </si>
  <si>
    <t xml:space="preserve">Q5 Best customer</t>
  </si>
  <si>
    <t xml:space="preserve">František Wichterlová — $144.54</t>
  </si>
  <si>
    <t xml:space="preserve">Q6 Rock listeners</t>
  </si>
  <si>
    <t xml:space="preserve">59 of 59 customers bought Rock</t>
  </si>
  <si>
    <t xml:space="preserve">Q7 Top rock band by tracks</t>
  </si>
  <si>
    <t xml:space="preserve">Led Zeppelin — 114 tracks (then U2, Deep Purple)</t>
  </si>
  <si>
    <t xml:space="preserve">Q8 Tracks longer than average</t>
  </si>
  <si>
    <t xml:space="preserve">494 of 3,503 tracks (avg 6.6 min)</t>
  </si>
  <si>
    <t xml:space="preserve">Q9 Best-selling artist's top fans</t>
  </si>
  <si>
    <t xml:space="preserve">Queen: Hugh O'Reilly $27.72 · Niklas Schröder $18.81 · François Tremblay $17.82</t>
  </si>
  <si>
    <t xml:space="preserve">Q10 &amp; Q11 - Top genre and top-spending customer per country</t>
  </si>
  <si>
    <t xml:space="preserve">Top genre = most purchases (ties included, as in the recursive SQL method). Spend = sum of invoice totals.</t>
  </si>
  <si>
    <t xml:space="preserve">Country</t>
  </si>
  <si>
    <t xml:space="preserve">Top genre (by purchases)</t>
  </si>
  <si>
    <t xml:space="preserve">Top-spending customer</t>
  </si>
  <si>
    <t xml:space="preserve">Spend ($)</t>
  </si>
  <si>
    <t xml:space="preserve">Argentina</t>
  </si>
  <si>
    <t xml:space="preserve">Alternative &amp; Punk</t>
  </si>
  <si>
    <t xml:space="preserve">Diego Gutiérrez</t>
  </si>
  <si>
    <t xml:space="preserve">Australia</t>
  </si>
  <si>
    <t xml:space="preserve">Rock</t>
  </si>
  <si>
    <t xml:space="preserve">Mark Taylor</t>
  </si>
  <si>
    <t xml:space="preserve">Austria</t>
  </si>
  <si>
    <t xml:space="preserve">Astrid Gruber</t>
  </si>
  <si>
    <t xml:space="preserve">Belgium</t>
  </si>
  <si>
    <t xml:space="preserve">Daan Peeters</t>
  </si>
  <si>
    <t xml:space="preserve">Brazil</t>
  </si>
  <si>
    <t xml:space="preserve">Luís Gonçalves</t>
  </si>
  <si>
    <t xml:space="preserve">Canada</t>
  </si>
  <si>
    <t xml:space="preserve">François Tremblay</t>
  </si>
  <si>
    <t xml:space="preserve">Chile</t>
  </si>
  <si>
    <t xml:space="preserve">Luis Rojas</t>
  </si>
  <si>
    <t xml:space="preserve">Czech Republic</t>
  </si>
  <si>
    <t xml:space="preserve">František Wichterlová</t>
  </si>
  <si>
    <t xml:space="preserve">Denmark</t>
  </si>
  <si>
    <t xml:space="preserve">Kara Nielsen</t>
  </si>
  <si>
    <t xml:space="preserve">Finland</t>
  </si>
  <si>
    <t xml:space="preserve">Terhi Hämäläinen</t>
  </si>
  <si>
    <t xml:space="preserve">France</t>
  </si>
  <si>
    <t xml:space="preserve">Wyatt Girard</t>
  </si>
  <si>
    <t xml:space="preserve">Germany</t>
  </si>
  <si>
    <t xml:space="preserve">Fynn Zimmermann</t>
  </si>
  <si>
    <t xml:space="preserve">Hungary</t>
  </si>
  <si>
    <t xml:space="preserve">Ladislav Kovács</t>
  </si>
  <si>
    <t xml:space="preserve">India</t>
  </si>
  <si>
    <t xml:space="preserve">Manoj Pareek</t>
  </si>
  <si>
    <t xml:space="preserve">Ireland</t>
  </si>
  <si>
    <t xml:space="preserve">Hugh O'Reilly</t>
  </si>
  <si>
    <t xml:space="preserve">Italy</t>
  </si>
  <si>
    <t xml:space="preserve">Lucas Mancini</t>
  </si>
  <si>
    <t xml:space="preserve">Netherlands</t>
  </si>
  <si>
    <t xml:space="preserve">Johannes Van der Berg</t>
  </si>
  <si>
    <t xml:space="preserve">Norway</t>
  </si>
  <si>
    <t xml:space="preserve">Bjørn Hansen</t>
  </si>
  <si>
    <t xml:space="preserve">Poland</t>
  </si>
  <si>
    <t xml:space="preserve">Stanisław Wójcik</t>
  </si>
  <si>
    <t xml:space="preserve">Portugal</t>
  </si>
  <si>
    <t xml:space="preserve">João Fernandes</t>
  </si>
  <si>
    <t xml:space="preserve">Spain</t>
  </si>
  <si>
    <t xml:space="preserve">Enrique Muñoz</t>
  </si>
  <si>
    <t xml:space="preserve">Sweden</t>
  </si>
  <si>
    <t xml:space="preserve">Joakim Johansson</t>
  </si>
  <si>
    <t xml:space="preserve">USA</t>
  </si>
  <si>
    <t xml:space="preserve">Jack Smith</t>
  </si>
  <si>
    <t xml:space="preserve">United Kingdom</t>
  </si>
  <si>
    <t xml:space="preserve">Phil Hughes</t>
  </si>
  <si>
    <t xml:space="preserve">Revenue and invoices by year</t>
  </si>
  <si>
    <t xml:space="preserve">Revenue = sum of invoice totals. Blue = values taken from the data; black = formulas.</t>
  </si>
  <si>
    <t xml:space="preserve">Year</t>
  </si>
  <si>
    <t xml:space="preserve">Revenue ($)</t>
  </si>
  <si>
    <t xml:space="preserve">Invoices</t>
  </si>
  <si>
    <t xml:space="preserve">Avg invoice ($)</t>
  </si>
  <si>
    <t xml:space="preserve">YoY revenue change</t>
  </si>
  <si>
    <t xml:space="preserve">2017</t>
  </si>
  <si>
    <t xml:space="preserve">2018</t>
  </si>
  <si>
    <t xml:space="preserve">2019</t>
  </si>
  <si>
    <t xml:space="preserve">2020</t>
  </si>
  <si>
    <t xml:space="preserve">Total</t>
  </si>
  <si>
    <t xml:space="preserve">Key insights and recommendations</t>
  </si>
  <si>
    <t xml:space="preserve">Blue cells are figures from the data; shares are formulas.</t>
  </si>
  <si>
    <t xml:space="preserve">Metric</t>
  </si>
  <si>
    <t xml:space="preserve">Value</t>
  </si>
  <si>
    <t xml:space="preserve">Note</t>
  </si>
  <si>
    <t xml:space="preserve">Total revenue ($)</t>
  </si>
  <si>
    <t xml:space="preserve">All invoices, 2017-2020</t>
  </si>
  <si>
    <t xml:space="preserve">Rock revenue ($)</t>
  </si>
  <si>
    <t xml:space="preserve">Invoice-line revenue (unit price x quantity)</t>
  </si>
  <si>
    <t xml:space="preserve">Rock share of revenue</t>
  </si>
  <si>
    <t xml:space="preserve">Rock dominates the catalogue</t>
  </si>
  <si>
    <t xml:space="preserve">USA revenue ($)</t>
  </si>
  <si>
    <t xml:space="preserve">Highest country by revenue</t>
  </si>
  <si>
    <t xml:space="preserve">USA share of revenue</t>
  </si>
  <si>
    <t xml:space="preserve">Single-market dependence</t>
  </si>
  <si>
    <t xml:space="preserve">Prague city revenue ($)</t>
  </si>
  <si>
    <t xml:space="preserve">Best city: the festival candidate</t>
  </si>
  <si>
    <t xml:space="preserve">Total customers</t>
  </si>
  <si>
    <t xml:space="preserve">All 59 customers bought Rock</t>
  </si>
  <si>
    <t xml:space="preserve">Recommendations</t>
  </si>
  <si>
    <t xml:space="preserve">1. Promote the Rock catalogue first: it drives most revenue and every customer has bought it.</t>
  </si>
  <si>
    <t xml:space="preserve">2. Prague is the festival city: highest city-level sales.</t>
  </si>
  <si>
    <t xml:space="preserve">3. Grow beyond the USA: Brazil, France and Germany are the next markets for targeted offers.</t>
  </si>
  <si>
    <t xml:space="preserve">4. Reward the top 10 customers: a small loyal group contributes a visible share of revenue.</t>
  </si>
  <si>
    <t xml:space="preserve">5. Revenue is flat year over year: growth needs bundles, upsells or new markets.</t>
  </si>
  <si>
    <t xml:space="preserve">Interview notes on the SQL</t>
  </si>
  <si>
    <t xml:space="preserve">1. Genre-per-country Method 1 uses ROW_NUMBER, which returns only one genre on ties; the question asks for all tied genres. Method 2 (recursive) handles ties correctly.</t>
  </si>
  <si>
    <t xml:space="preserve">2. Rock-listener query (Q6) returns all 59 customers, so it gives no segmentation. Worth stating this observation in an interview.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</si>
</sst>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;\-0.0%;\-"/>
    <numFmt numFmtId="167" formatCode="0.0%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B6B8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4C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6"/>
      <rgbColor rgb="FF969696"/>
      <rgbColor rgb="FF0F4C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</row>
    <row r="5" customFormat="false" ht="15" hidden="false" customHeight="false" outlineLevel="0" collapsed="false">
      <c r="A5" s="4" t="s">
        <v>28</v>
      </c>
      <c r="B5" s="5" t="s">
        <v>29</v>
      </c>
      <c r="C5" s="5" t="s">
        <v>30</v>
      </c>
      <c r="D5" s="6" t="n">
        <v>39.6</v>
      </c>
    </row>
    <row r="6" customFormat="false" ht="15" hidden="false" customHeight="false" outlineLevel="0" collapsed="false">
      <c r="A6" s="4" t="s">
        <v>31</v>
      </c>
      <c r="B6" s="5" t="s">
        <v>32</v>
      </c>
      <c r="C6" s="5" t="s">
        <v>33</v>
      </c>
      <c r="D6" s="6" t="n">
        <v>81.18</v>
      </c>
    </row>
    <row r="7" customFormat="false" ht="15" hidden="false" customHeight="false" outlineLevel="0" collapsed="false">
      <c r="A7" s="4" t="s">
        <v>34</v>
      </c>
      <c r="B7" s="5" t="s">
        <v>32</v>
      </c>
      <c r="C7" s="5" t="s">
        <v>35</v>
      </c>
      <c r="D7" s="6" t="n">
        <v>69.3</v>
      </c>
    </row>
    <row r="8" customFormat="false" ht="15" hidden="false" customHeight="false" outlineLevel="0" collapsed="false">
      <c r="A8" s="4" t="s">
        <v>36</v>
      </c>
      <c r="B8" s="5" t="s">
        <v>32</v>
      </c>
      <c r="C8" s="5" t="s">
        <v>37</v>
      </c>
      <c r="D8" s="6" t="n">
        <v>60.39</v>
      </c>
    </row>
    <row r="9" customFormat="false" ht="15" hidden="false" customHeight="false" outlineLevel="0" collapsed="false">
      <c r="A9" s="4" t="s">
        <v>38</v>
      </c>
      <c r="B9" s="5" t="s">
        <v>32</v>
      </c>
      <c r="C9" s="5" t="s">
        <v>39</v>
      </c>
      <c r="D9" s="6" t="n">
        <v>108.9</v>
      </c>
    </row>
    <row r="10" customFormat="false" ht="15" hidden="false" customHeight="false" outlineLevel="0" collapsed="false">
      <c r="A10" s="4" t="s">
        <v>40</v>
      </c>
      <c r="B10" s="5" t="s">
        <v>32</v>
      </c>
      <c r="C10" s="5" t="s">
        <v>41</v>
      </c>
      <c r="D10" s="6" t="n">
        <v>99.99</v>
      </c>
    </row>
    <row r="11" customFormat="false" ht="15" hidden="false" customHeight="false" outlineLevel="0" collapsed="false">
      <c r="A11" s="4" t="s">
        <v>42</v>
      </c>
      <c r="B11" s="5" t="s">
        <v>32</v>
      </c>
      <c r="C11" s="5" t="s">
        <v>43</v>
      </c>
      <c r="D11" s="6" t="n">
        <v>97.02</v>
      </c>
    </row>
    <row r="12" customFormat="false" ht="15" hidden="false" customHeight="false" outlineLevel="0" collapsed="false">
      <c r="A12" s="4" t="s">
        <v>44</v>
      </c>
      <c r="B12" s="5" t="s">
        <v>32</v>
      </c>
      <c r="C12" s="5" t="s">
        <v>45</v>
      </c>
      <c r="D12" s="6" t="n">
        <v>144.54</v>
      </c>
    </row>
    <row r="13" customFormat="false" ht="15" hidden="false" customHeight="false" outlineLevel="0" collapsed="false">
      <c r="A13" s="4" t="s">
        <v>46</v>
      </c>
      <c r="B13" s="5" t="s">
        <v>32</v>
      </c>
      <c r="C13" s="5" t="s">
        <v>47</v>
      </c>
      <c r="D13" s="6" t="n">
        <v>37.62</v>
      </c>
    </row>
    <row r="14" customFormat="false" ht="15" hidden="false" customHeight="false" outlineLevel="0" collapsed="false">
      <c r="A14" s="4" t="s">
        <v>48</v>
      </c>
      <c r="B14" s="5" t="s">
        <v>32</v>
      </c>
      <c r="C14" s="5" t="s">
        <v>49</v>
      </c>
      <c r="D14" s="6" t="n">
        <v>79.2</v>
      </c>
    </row>
    <row r="15" customFormat="false" ht="15" hidden="false" customHeight="false" outlineLevel="0" collapsed="false">
      <c r="A15" s="4" t="s">
        <v>50</v>
      </c>
      <c r="B15" s="5" t="s">
        <v>32</v>
      </c>
      <c r="C15" s="5" t="s">
        <v>51</v>
      </c>
      <c r="D15" s="6" t="n">
        <v>99.99</v>
      </c>
    </row>
    <row r="16" customFormat="false" ht="15" hidden="false" customHeight="false" outlineLevel="0" collapsed="false">
      <c r="A16" s="4" t="s">
        <v>52</v>
      </c>
      <c r="B16" s="5" t="s">
        <v>32</v>
      </c>
      <c r="C16" s="5" t="s">
        <v>53</v>
      </c>
      <c r="D16" s="6" t="n">
        <v>94.05</v>
      </c>
    </row>
    <row r="17" customFormat="false" ht="15" hidden="false" customHeight="false" outlineLevel="0" collapsed="false">
      <c r="A17" s="4" t="s">
        <v>54</v>
      </c>
      <c r="B17" s="5" t="s">
        <v>32</v>
      </c>
      <c r="C17" s="5" t="s">
        <v>55</v>
      </c>
      <c r="D17" s="6" t="n">
        <v>78.21</v>
      </c>
    </row>
    <row r="18" customFormat="false" ht="15" hidden="false" customHeight="false" outlineLevel="0" collapsed="false">
      <c r="A18" s="4" t="s">
        <v>56</v>
      </c>
      <c r="B18" s="5" t="s">
        <v>32</v>
      </c>
      <c r="C18" s="5" t="s">
        <v>57</v>
      </c>
      <c r="D18" s="6" t="n">
        <v>111.87</v>
      </c>
    </row>
    <row r="19" customFormat="false" ht="15" hidden="false" customHeight="false" outlineLevel="0" collapsed="false">
      <c r="A19" s="4" t="s">
        <v>58</v>
      </c>
      <c r="B19" s="5" t="s">
        <v>32</v>
      </c>
      <c r="C19" s="5" t="s">
        <v>59</v>
      </c>
      <c r="D19" s="6" t="n">
        <v>114.84</v>
      </c>
    </row>
    <row r="20" customFormat="false" ht="15" hidden="false" customHeight="false" outlineLevel="0" collapsed="false">
      <c r="A20" s="4" t="s">
        <v>60</v>
      </c>
      <c r="B20" s="5" t="s">
        <v>32</v>
      </c>
      <c r="C20" s="5" t="s">
        <v>61</v>
      </c>
      <c r="D20" s="6" t="n">
        <v>50.49</v>
      </c>
    </row>
    <row r="21" customFormat="false" ht="15" hidden="false" customHeight="false" outlineLevel="0" collapsed="false">
      <c r="A21" s="4" t="s">
        <v>62</v>
      </c>
      <c r="B21" s="5" t="s">
        <v>32</v>
      </c>
      <c r="C21" s="5" t="s">
        <v>63</v>
      </c>
      <c r="D21" s="6" t="n">
        <v>65.34</v>
      </c>
    </row>
    <row r="22" customFormat="false" ht="15" hidden="false" customHeight="false" outlineLevel="0" collapsed="false">
      <c r="A22" s="4" t="s">
        <v>64</v>
      </c>
      <c r="B22" s="5" t="s">
        <v>32</v>
      </c>
      <c r="C22" s="5" t="s">
        <v>65</v>
      </c>
      <c r="D22" s="6" t="n">
        <v>72.27</v>
      </c>
    </row>
    <row r="23" customFormat="false" ht="15" hidden="false" customHeight="false" outlineLevel="0" collapsed="false">
      <c r="A23" s="4" t="s">
        <v>66</v>
      </c>
      <c r="B23" s="5" t="s">
        <v>32</v>
      </c>
      <c r="C23" s="5" t="s">
        <v>67</v>
      </c>
      <c r="D23" s="6" t="n">
        <v>76.23</v>
      </c>
    </row>
    <row r="24" customFormat="false" ht="15" hidden="false" customHeight="false" outlineLevel="0" collapsed="false">
      <c r="A24" s="4" t="s">
        <v>68</v>
      </c>
      <c r="B24" s="5" t="s">
        <v>32</v>
      </c>
      <c r="C24" s="5" t="s">
        <v>69</v>
      </c>
      <c r="D24" s="6" t="n">
        <v>102.96</v>
      </c>
    </row>
    <row r="25" customFormat="false" ht="15" hidden="false" customHeight="false" outlineLevel="0" collapsed="false">
      <c r="A25" s="4" t="s">
        <v>70</v>
      </c>
      <c r="B25" s="5" t="s">
        <v>32</v>
      </c>
      <c r="C25" s="5" t="s">
        <v>71</v>
      </c>
      <c r="D25" s="6" t="n">
        <v>98.01</v>
      </c>
    </row>
    <row r="26" customFormat="false" ht="15" hidden="false" customHeight="false" outlineLevel="0" collapsed="false">
      <c r="A26" s="4" t="s">
        <v>72</v>
      </c>
      <c r="B26" s="5" t="s">
        <v>32</v>
      </c>
      <c r="C26" s="5" t="s">
        <v>73</v>
      </c>
      <c r="D26" s="6" t="n">
        <v>75.24</v>
      </c>
    </row>
    <row r="27" customFormat="false" ht="15" hidden="false" customHeight="false" outlineLevel="0" collapsed="false">
      <c r="A27" s="4" t="s">
        <v>74</v>
      </c>
      <c r="B27" s="5" t="s">
        <v>32</v>
      </c>
      <c r="C27" s="5" t="s">
        <v>75</v>
      </c>
      <c r="D27" s="6" t="n">
        <v>98.01</v>
      </c>
    </row>
    <row r="28" customFormat="false" ht="15" hidden="false" customHeight="false" outlineLevel="0" collapsed="false">
      <c r="A28" s="4" t="s">
        <v>76</v>
      </c>
      <c r="B28" s="5" t="s">
        <v>32</v>
      </c>
      <c r="C28" s="5" t="s">
        <v>77</v>
      </c>
      <c r="D28" s="6" t="n">
        <v>98.01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</row>
    <row r="5" customFormat="false" ht="15" hidden="false" customHeight="false" outlineLevel="0" collapsed="false">
      <c r="A5" s="7" t="s">
        <v>85</v>
      </c>
      <c r="B5" s="8" t="n">
        <v>1201.86</v>
      </c>
      <c r="C5" s="9" t="n">
        <v>154</v>
      </c>
      <c r="D5" s="10" t="n">
        <f aca="false">IFERROR(B5/C5,0)</f>
        <v>7.80428571428571</v>
      </c>
      <c r="E5" s="11"/>
    </row>
    <row r="6" customFormat="false" ht="15" hidden="false" customHeight="false" outlineLevel="0" collapsed="false">
      <c r="A6" s="7" t="s">
        <v>86</v>
      </c>
      <c r="B6" s="8" t="n">
        <v>1147.41</v>
      </c>
      <c r="C6" s="9" t="n">
        <v>151</v>
      </c>
      <c r="D6" s="10" t="n">
        <f aca="false">IFERROR(B6/C6,0)</f>
        <v>7.59874172185431</v>
      </c>
      <c r="E6" s="11" t="n">
        <f aca="false">IFERROR(B6/B5-1,"")</f>
        <v>-0.0453047775947281</v>
      </c>
    </row>
    <row r="7" customFormat="false" ht="15" hidden="false" customHeight="false" outlineLevel="0" collapsed="false">
      <c r="A7" s="7" t="s">
        <v>87</v>
      </c>
      <c r="B7" s="8" t="n">
        <v>1221.66</v>
      </c>
      <c r="C7" s="9" t="n">
        <v>159</v>
      </c>
      <c r="D7" s="10" t="n">
        <f aca="false">IFERROR(B7/C7,0)</f>
        <v>7.6833962264151</v>
      </c>
      <c r="E7" s="11" t="n">
        <f aca="false">IFERROR(B7/B6-1,"")</f>
        <v>0.0647109577221743</v>
      </c>
    </row>
    <row r="8" customFormat="false" ht="15" hidden="false" customHeight="false" outlineLevel="0" collapsed="false">
      <c r="A8" s="7" t="s">
        <v>88</v>
      </c>
      <c r="B8" s="8" t="n">
        <v>1138.5</v>
      </c>
      <c r="C8" s="9" t="n">
        <v>150</v>
      </c>
      <c r="D8" s="10" t="n">
        <f aca="false">IFERROR(B8/C8,0)</f>
        <v>7.59</v>
      </c>
      <c r="E8" s="11" t="n">
        <f aca="false">IFERROR(B8/B7-1,"")</f>
        <v>-0.0680713128038899</v>
      </c>
    </row>
    <row r="9" customFormat="false" ht="15" hidden="false" customHeight="false" outlineLevel="0" collapsed="false">
      <c r="A9" s="12" t="s">
        <v>89</v>
      </c>
      <c r="B9" s="13" t="n">
        <f aca="false">SUM(B5:B8)</f>
        <v>4709.43</v>
      </c>
      <c r="C9" s="12" t="n">
        <f aca="false">SUM(C5:C8)</f>
        <v>614</v>
      </c>
      <c r="D9" s="13" t="n">
        <f aca="false">IFERROR(B9/C9,0)</f>
        <v>7.67008143322476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3" t="s">
        <v>92</v>
      </c>
      <c r="B4" s="3" t="s">
        <v>93</v>
      </c>
      <c r="C4" s="3" t="s">
        <v>94</v>
      </c>
    </row>
    <row r="5" customFormat="false" ht="15" hidden="false" customHeight="false" outlineLevel="0" collapsed="false">
      <c r="A5" s="7" t="s">
        <v>95</v>
      </c>
      <c r="B5" s="8" t="n">
        <v>4709.43</v>
      </c>
      <c r="C5" s="7" t="s">
        <v>96</v>
      </c>
    </row>
    <row r="6" customFormat="false" ht="15" hidden="false" customHeight="false" outlineLevel="0" collapsed="false">
      <c r="A6" s="7" t="s">
        <v>97</v>
      </c>
      <c r="B6" s="8" t="n">
        <v>2608.65</v>
      </c>
      <c r="C6" s="7" t="s">
        <v>98</v>
      </c>
    </row>
    <row r="7" customFormat="false" ht="15" hidden="false" customHeight="false" outlineLevel="0" collapsed="false">
      <c r="A7" s="7" t="s">
        <v>99</v>
      </c>
      <c r="B7" s="14" t="n">
        <f aca="false">B6/B5</f>
        <v>0.553920538154299</v>
      </c>
      <c r="C7" s="7" t="s">
        <v>100</v>
      </c>
    </row>
    <row r="8" customFormat="false" ht="15" hidden="false" customHeight="false" outlineLevel="0" collapsed="false">
      <c r="A8" s="7" t="s">
        <v>101</v>
      </c>
      <c r="B8" s="8" t="n">
        <v>1040.49</v>
      </c>
      <c r="C8" s="7" t="s">
        <v>102</v>
      </c>
    </row>
    <row r="9" customFormat="false" ht="15" hidden="false" customHeight="false" outlineLevel="0" collapsed="false">
      <c r="A9" s="7" t="s">
        <v>103</v>
      </c>
      <c r="B9" s="14" t="n">
        <f aca="false">B8/B5</f>
        <v>0.220937565692663</v>
      </c>
      <c r="C9" s="7" t="s">
        <v>104</v>
      </c>
    </row>
    <row r="10" customFormat="false" ht="15" hidden="false" customHeight="false" outlineLevel="0" collapsed="false">
      <c r="A10" s="7" t="s">
        <v>105</v>
      </c>
      <c r="B10" s="8" t="n">
        <v>273.24</v>
      </c>
      <c r="C10" s="7" t="s">
        <v>106</v>
      </c>
    </row>
    <row r="11" customFormat="false" ht="15" hidden="false" customHeight="false" outlineLevel="0" collapsed="false">
      <c r="A11" s="7" t="s">
        <v>107</v>
      </c>
      <c r="B11" s="15" t="n">
        <v>59</v>
      </c>
      <c r="C11" s="7" t="s">
        <v>108</v>
      </c>
    </row>
    <row r="13" customFormat="false" ht="15" hidden="false" customHeight="false" outlineLevel="0" collapsed="false">
      <c r="A13" s="16" t="s">
        <v>109</v>
      </c>
    </row>
    <row r="14" customFormat="false" ht="30" hidden="false" customHeight="true" outlineLevel="0" collapsed="false">
      <c r="A14" s="17" t="s">
        <v>110</v>
      </c>
      <c r="B14" s="17"/>
      <c r="C14" s="17"/>
    </row>
    <row r="15" customFormat="false" ht="30" hidden="false" customHeight="true" outlineLevel="0" collapsed="false">
      <c r="A15" s="17" t="s">
        <v>111</v>
      </c>
      <c r="B15" s="17"/>
      <c r="C15" s="17"/>
    </row>
    <row r="16" customFormat="false" ht="30" hidden="false" customHeight="true" outlineLevel="0" collapsed="false">
      <c r="A16" s="17" t="s">
        <v>112</v>
      </c>
      <c r="B16" s="17"/>
      <c r="C16" s="17"/>
    </row>
    <row r="17" customFormat="false" ht="30" hidden="false" customHeight="true" outlineLevel="0" collapsed="false">
      <c r="A17" s="17" t="s">
        <v>113</v>
      </c>
      <c r="B17" s="17"/>
      <c r="C17" s="17"/>
    </row>
    <row r="18" customFormat="false" ht="30" hidden="false" customHeight="true" outlineLevel="0" collapsed="false">
      <c r="A18" s="17" t="s">
        <v>114</v>
      </c>
      <c r="B18" s="17"/>
      <c r="C18" s="17"/>
    </row>
    <row r="20" customFormat="false" ht="15" hidden="false" customHeight="false" outlineLevel="0" collapsed="false">
      <c r="A20" s="16" t="s">
        <v>115</v>
      </c>
    </row>
    <row r="21" customFormat="false" ht="43.5" hidden="false" customHeight="true" outlineLevel="0" collapsed="false">
      <c r="A21" s="17" t="s">
        <v>116</v>
      </c>
      <c r="B21" s="17"/>
      <c r="C21" s="17"/>
    </row>
    <row r="22" customFormat="false" ht="43.5" hidden="false" customHeight="true" outlineLevel="0" collapsed="false">
      <c r="A22" s="17" t="s">
        <v>117</v>
      </c>
      <c r="B22" s="17"/>
      <c r="C22" s="17"/>
    </row>
  </sheetData>
  <mergeCells count="7">
    <mergeCell ref="A14:C14"/>
    <mergeCell ref="A15:C15"/>
    <mergeCell ref="A16:C16"/>
    <mergeCell ref="A17:C17"/>
    <mergeCell ref="A18:C18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2026-10-11T15:11:30Z</dcterms:created>
  <dc:creator>openpyxl</dc:creator>
  <dc:description/>
  <dc:language>en-US</dc:language>
  <cp:lastModifiedBy/>
  <dcterms:modified xsi:type="dcterms:W3CDTF">2026-10-11T15:11:30Z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